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dc9f3b4bf24b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o" sheetId="1" r:id="R9597286eb5bc447a"/>
    <x:sheet xmlns:r="http://schemas.openxmlformats.org/officeDocument/2006/relationships" name="Métricas" sheetId="2" r:id="R8a1a0ae641fd4c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%"/>
  </x:numFmts>
  <x:fonts count="7">
    <x:font>
      <x:sz val="11"/>
      <x:name val="Carlito"/>
    </x:font>
    <x:font>
      <x:b/>
      <x:sz val="14"/>
      <x:color rgb="FF1F1F1F"/>
      <x:name val="Arial"/>
    </x:font>
    <x:font>
      <x:i/>
      <x:sz val="10"/>
      <x:color rgb="FF595959"/>
      <x:name val="Arial"/>
    </x:font>
    <x:font>
      <x:b/>
      <x:sz val="10"/>
      <x:color rgb="FFFFFFFF"/>
      <x:name val="Arial"/>
    </x:font>
    <x:font>
      <x:sz val="10"/>
      <x:color rgb="FF1F1F1F"/>
      <x:name val="Arial"/>
    </x:font>
    <x:font>
      <x:b/>
      <x:sz val="10"/>
      <x:color rgb="FF1F1F1F"/>
      <x:name val="Arial"/>
    </x:font>
    <x:font>
      <x:i/>
      <x:sz val="10"/>
      <x:color rgb="FF1F1F1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D9E2F3"/>
      </x:patternFill>
    </x:fill>
  </x:fills>
  <x:borders count="10">
    <x:border>
      <x:left/>
      <x:right/>
      <x:top/>
      <x:bottom/>
      <x:diagonal/>
    </x:border>
    <x:border>
      <x:left style="thin">
        <x:color rgb="FFD9D9D9"/>
      </x:left>
      <x:right/>
      <x:top style="thin">
        <x:color rgb="FFD9D9D9"/>
      </x:top>
      <x:bottom/>
      <x:diagonal/>
    </x:border>
    <x:border>
      <x:left/>
      <x:right/>
      <x:top style="thin">
        <x:color rgb="FFD9D9D9"/>
      </x:top>
      <x:bottom/>
      <x:diagonal/>
    </x:border>
    <x:border>
      <x:left/>
      <x:right style="thin">
        <x:color rgb="FFD9D9D9"/>
      </x:right>
      <x:top style="thin">
        <x:color rgb="FFD9D9D9"/>
      </x:top>
      <x:bottom/>
      <x:diagonal/>
    </x:border>
    <x:border>
      <x:left style="thin">
        <x:color rgb="FFD9D9D9"/>
      </x:left>
      <x:right/>
      <x:top/>
      <x:bottom/>
      <x:diagonal/>
    </x:border>
    <x:border>
      <x:left/>
      <x:right style="thin">
        <x:color rgb="FFD9D9D9"/>
      </x:right>
      <x:top/>
      <x:bottom/>
      <x:diagonal/>
    </x:border>
    <x:border>
      <x:left style="thin">
        <x:color rgb="FFD9D9D9"/>
      </x:left>
      <x:right/>
      <x:top/>
      <x:bottom style="thin">
        <x:color rgb="FFD9D9D9"/>
      </x:bottom>
      <x:diagonal/>
    </x:border>
    <x:border>
      <x:left/>
      <x:right/>
      <x:top/>
      <x:bottom style="thin">
        <x:color rgb="FFD9D9D9"/>
      </x:bottom>
      <x:diagonal/>
    </x:border>
    <x:border>
      <x:left/>
      <x:right style="thin">
        <x:color rgb="FFD9D9D9"/>
      </x:right>
      <x:top/>
      <x:bottom style="thin">
        <x:color rgb="FFD9D9D9"/>
      </x:bottom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StyleXfs count="1">
    <x:xf numFmtId="0" fontId="0" fillId="0" borderId="0"/>
  </x:cellStyleXfs>
  <x:cellXfs count="4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/>
    </x:xf>
    <x:xf numFmtId="0" fontId="4" fillId="0" borderId="8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200" fontId="4" fillId="0" borderId="1" xfId="0" applyNumberFormat="1" applyFont="1" applyFill="1" applyBorder="1" applyAlignment="1">
      <x:alignment vertical="center" wrapText="1"/>
    </x:xf>
    <x:xf numFmtId="200" fontId="4" fillId="0" borderId="4" xfId="0" applyNumberFormat="1" applyFont="1" applyFill="1" applyBorder="1" applyAlignment="1">
      <x:alignment vertical="center" wrapText="1"/>
    </x:xf>
    <x:xf numFmtId="200" fontId="4" fillId="0" borderId="6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7" xfId="0" applyNumberFormat="1" applyFont="1" applyFill="1" applyBorder="1" applyAlignment="1">
      <x:alignment vertical="center" wrapText="1"/>
    </x:xf>
    <x:xf numFmtId="0" fontId="4" fillId="3" borderId="3" xfId="0" applyNumberFormat="1" applyFont="1" applyFill="1" applyBorder="1" applyAlignment="1">
      <x:alignment vertical="center" wrapText="1"/>
    </x:xf>
    <x:xf numFmtId="0" fontId="4" fillId="3" borderId="5" xfId="0" applyNumberFormat="1" applyFont="1" applyFill="1" applyBorder="1" applyAlignment="1">
      <x:alignment vertical="center" wrapText="1"/>
    </x:xf>
    <x:xf numFmtId="0" fontId="4" fillId="3" borderId="8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/>
    </x:xf>
    <x:xf numFmtId="0" fontId="5" fillId="2" borderId="9" xfId="0" applyNumberFormat="1" applyFont="1" applyFill="1" applyBorder="1" applyAlignment="1">
      <x:alignment horizontal="center"/>
    </x:xf>
    <x:xf numFmtId="0" fontId="4" fillId="0" borderId="9" xfId="0" applyNumberFormat="1" applyFont="1" applyFill="1" applyBorder="1"/>
    <x:xf numFmtId="201" fontId="4" fillId="0" borderId="9" xfId="0" applyNumberFormat="1" applyFont="1" applyFill="1" applyBorder="1"/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3319403dab4763" /><Relationship Type="http://schemas.openxmlformats.org/officeDocument/2006/relationships/theme" Target="/xl/theme/theme1.xml" Id="Rb02d46a4c90649a8" /><Relationship Type="http://schemas.openxmlformats.org/officeDocument/2006/relationships/sharedStrings" Target="/xl/sharedStrings.xml" Id="Ra0c174cb9a244152" /><Relationship Type="http://schemas.openxmlformats.org/officeDocument/2006/relationships/worksheet" Target="/xl/worksheets/sheet1.xml" Id="R9597286eb5bc447a" /><Relationship Type="http://schemas.openxmlformats.org/officeDocument/2006/relationships/worksheet" Target="/xl/worksheets/sheet2.xml" Id="R8a1a0ae641fd4c6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3" hidden="0" customWidth="1"/>
    <x:col min="2" max="2" width="20" hidden="0" customWidth="1"/>
    <x:col min="3" max="3" width="14.5" hidden="0" customWidth="1"/>
    <x:col min="4" max="4" width="9" hidden="0" customWidth="1"/>
    <x:col min="5" max="5" width="9" hidden="0" customWidth="1"/>
    <x:col min="6" max="6" width="9.880000114440918" hidden="0" customWidth="1"/>
    <x:col min="7" max="7" width="11.130000114440918" hidden="0" customWidth="1"/>
    <x:col min="8" max="8" width="10.130000114440918" hidden="0" customWidth="1"/>
    <x:col min="9" max="9" width="10.630000114440918" hidden="0" customWidth="1"/>
    <x:col min="10" max="10" width="5.880000114440918" hidden="0" customWidth="1"/>
    <x:col min="11" max="11" width="42" hidden="0" customWidth="1"/>
  </x:cols>
  <x:sheetData>
    <x:row r="2">
      <x:c r="A2" s="1" t="str">
        <x:v>Registro local de evaluación biométrica</x:v>
      </x:c>
    </x:row>
    <x:row r="3">
      <x:c r="A3" s="2" t="str">
        <x:v>Use solo códigos anónimos. No ingrese nombres, documentos, rostros, QR ni información de contacto.</x:v>
      </x:c>
    </x:row>
    <x:row r="5" ht="30" customHeight="1">
      <x:c r="A5" s="7" t="str">
        <x:v>fecha</x:v>
      </x:c>
      <x:c r="B5" s="7" t="str">
        <x:v>codigo_participante</x:v>
      </x:c>
      <x:c r="C5" s="7" t="str">
        <x:v>escenario</x:v>
      </x:c>
      <x:c r="D5" s="7" t="str">
        <x:v>esperado</x:v>
      </x:c>
      <x:c r="E5" s="7" t="str">
        <x:v>observado</x:v>
      </x:c>
      <x:c r="F5" s="7" t="str">
        <x:v>iluminacion</x:v>
      </x:c>
      <x:c r="G5" s="7" t="str">
        <x:v>distancia_cm</x:v>
      </x:c>
      <x:c r="H5" s="7" t="str">
        <x:v>resultado</x:v>
      </x:c>
      <x:c r="I5" s="7" t="str">
        <x:v>desafio_vida</x:v>
      </x:c>
      <x:c r="J5" s="7" t="str">
        <x:v>vencio</x:v>
      </x:c>
      <x:c r="K5" s="7" t="str">
        <x:v>observaciones</x:v>
      </x:c>
    </x:row>
    <x:row r="6">
      <x:c r="A6" s="27"/>
      <x:c r="B6" s="30" t="str">
        <x:v>P01</x:v>
      </x:c>
      <x:c r="C6" s="30" t="str">
        <x:v>genuino</x:v>
      </x:c>
      <x:c r="D6" s="30" t="str">
        <x:v>aprobar</x:v>
      </x:c>
      <x:c r="E6" s="30"/>
      <x:c r="F6" s="30" t="str">
        <x:v>normal</x:v>
      </x:c>
      <x:c r="G6" s="30" t="n">
        <x:v>60</x:v>
      </x:c>
      <x:c r="H6" s="19" t="str">
        <x:f>IF(OR(D6="",E6=""),"PENDIENTE",IF(AND(D6="aprobar",E6="aprobar"),"TP",IF(AND(D6="rechazar",E6="rechazar"),"TN",IF(AND(D6="rechazar",E6="aprobar"),"FP","FN"))))</x:f>
        <x:v>PENDIENTE</x:v>
      </x:c>
      <x:c r="I6" s="30"/>
      <x:c r="J6" s="30"/>
      <x:c r="K6" s="33" t="str">
        <x:v>Planificado; completar solo después del intento presencial.</x:v>
      </x:c>
    </x:row>
    <x:row r="7">
      <x:c r="A7" s="28"/>
      <x:c r="B7" s="31" t="str">
        <x:v>P01</x:v>
      </x:c>
      <x:c r="C7" s="31" t="str">
        <x:v>no_coincidencia</x:v>
      </x:c>
      <x:c r="D7" s="31" t="str">
        <x:v>rechazar</x:v>
      </x:c>
      <x:c r="E7" s="31"/>
      <x:c r="F7" s="31" t="str">
        <x:v>normal</x:v>
      </x:c>
      <x:c r="G7" s="31" t="n">
        <x:v>60</x:v>
      </x:c>
      <x:c r="H7" s="22" t="str">
        <x:f>IF(OR(D7="",E7=""),"PENDIENTE",IF(AND(D7="aprobar",E7="aprobar"),"TP",IF(AND(D7="rechazar",E7="rechazar"),"TN",IF(AND(D7="rechazar",E7="aprobar"),"FP","FN"))))</x:f>
        <x:v>PENDIENTE</x:v>
      </x:c>
      <x:c r="I7" s="31"/>
      <x:c r="J7" s="31"/>
      <x:c r="K7" s="34" t="str">
        <x:v>Requiere otro voluntario consentido; si no existe, dejar sin ejecutar.</x:v>
      </x:c>
    </x:row>
    <x:row r="8">
      <x:c r="A8" s="28"/>
      <x:c r="B8" s="31" t="str">
        <x:v>P01</x:v>
      </x:c>
      <x:c r="C8" s="31" t="str">
        <x:v>persona_real</x:v>
      </x:c>
      <x:c r="D8" s="31" t="str">
        <x:v>aprobar</x:v>
      </x:c>
      <x:c r="E8" s="31"/>
      <x:c r="F8" s="31" t="str">
        <x:v>normal</x:v>
      </x:c>
      <x:c r="G8" s="31" t="n">
        <x:v>60</x:v>
      </x:c>
      <x:c r="H8" s="22" t="str">
        <x:f>IF(OR(D8="",E8=""),"PENDIENTE",IF(AND(D8="aprobar",E8="aprobar"),"TP",IF(AND(D8="rechazar",E8="rechazar"),"TN",IF(AND(D8="rechazar",E8="aprobar"),"FP","FN"))))</x:f>
        <x:v>PENDIENTE</x:v>
      </x:c>
      <x:c r="I8" s="31"/>
      <x:c r="J8" s="31"/>
      <x:c r="K8" s="34" t="str">
        <x:v>Prueba de vida presencial; registrar el desafío mostrado.</x:v>
      </x:c>
    </x:row>
    <x:row r="9">
      <x:c r="A9" s="28"/>
      <x:c r="B9" s="31"/>
      <x:c r="C9" s="31"/>
      <x:c r="D9" s="31"/>
      <x:c r="E9" s="31"/>
      <x:c r="F9" s="31"/>
      <x:c r="G9" s="31"/>
      <x:c r="H9" s="22" t="str">
        <x:f>IF(OR(D9="",E9=""),"PENDIENTE",IF(AND(D9="aprobar",E9="aprobar"),"TP",IF(AND(D9="rechazar",E9="rechazar"),"TN",IF(AND(D9="rechazar",E9="aprobar"),"FP","FN"))))</x:f>
        <x:v>PENDIENTE</x:v>
      </x:c>
      <x:c r="I9" s="31"/>
      <x:c r="J9" s="31"/>
      <x:c r="K9" s="34"/>
    </x:row>
    <x:row r="10">
      <x:c r="A10" s="28"/>
      <x:c r="B10" s="31"/>
      <x:c r="C10" s="31"/>
      <x:c r="D10" s="31"/>
      <x:c r="E10" s="31"/>
      <x:c r="F10" s="31"/>
      <x:c r="G10" s="31"/>
      <x:c r="H10" s="22" t="str">
        <x:f>IF(OR(D10="",E10=""),"PENDIENTE",IF(AND(D10="aprobar",E10="aprobar"),"TP",IF(AND(D10="rechazar",E10="rechazar"),"TN",IF(AND(D10="rechazar",E10="aprobar"),"FP","FN"))))</x:f>
        <x:v>PENDIENTE</x:v>
      </x:c>
      <x:c r="I10" s="31"/>
      <x:c r="J10" s="31"/>
      <x:c r="K10" s="34"/>
    </x:row>
    <x:row r="11">
      <x:c r="A11" s="28"/>
      <x:c r="B11" s="31"/>
      <x:c r="C11" s="31"/>
      <x:c r="D11" s="31"/>
      <x:c r="E11" s="31"/>
      <x:c r="F11" s="31"/>
      <x:c r="G11" s="31"/>
      <x:c r="H11" s="22" t="str">
        <x:f>IF(OR(D11="",E11=""),"PENDIENTE",IF(AND(D11="aprobar",E11="aprobar"),"TP",IF(AND(D11="rechazar",E11="rechazar"),"TN",IF(AND(D11="rechazar",E11="aprobar"),"FP","FN"))))</x:f>
        <x:v>PENDIENTE</x:v>
      </x:c>
      <x:c r="I11" s="31"/>
      <x:c r="J11" s="31"/>
      <x:c r="K11" s="34"/>
    </x:row>
    <x:row r="12">
      <x:c r="A12" s="28"/>
      <x:c r="B12" s="31"/>
      <x:c r="C12" s="31"/>
      <x:c r="D12" s="31"/>
      <x:c r="E12" s="31"/>
      <x:c r="F12" s="31"/>
      <x:c r="G12" s="31"/>
      <x:c r="H12" s="22" t="str">
        <x:f>IF(OR(D12="",E12=""),"PENDIENTE",IF(AND(D12="aprobar",E12="aprobar"),"TP",IF(AND(D12="rechazar",E12="rechazar"),"TN",IF(AND(D12="rechazar",E12="aprobar"),"FP","FN"))))</x:f>
        <x:v>PENDIENTE</x:v>
      </x:c>
      <x:c r="I12" s="31"/>
      <x:c r="J12" s="31"/>
      <x:c r="K12" s="34"/>
    </x:row>
    <x:row r="13">
      <x:c r="A13" s="28"/>
      <x:c r="B13" s="31"/>
      <x:c r="C13" s="31"/>
      <x:c r="D13" s="31"/>
      <x:c r="E13" s="31"/>
      <x:c r="F13" s="31"/>
      <x:c r="G13" s="31"/>
      <x:c r="H13" s="22" t="str">
        <x:f>IF(OR(D13="",E13=""),"PENDIENTE",IF(AND(D13="aprobar",E13="aprobar"),"TP",IF(AND(D13="rechazar",E13="rechazar"),"TN",IF(AND(D13="rechazar",E13="aprobar"),"FP","FN"))))</x:f>
        <x:v>PENDIENTE</x:v>
      </x:c>
      <x:c r="I13" s="31"/>
      <x:c r="J13" s="31"/>
      <x:c r="K13" s="34"/>
    </x:row>
    <x:row r="14">
      <x:c r="A14" s="28"/>
      <x:c r="B14" s="31"/>
      <x:c r="C14" s="31"/>
      <x:c r="D14" s="31"/>
      <x:c r="E14" s="31"/>
      <x:c r="F14" s="31"/>
      <x:c r="G14" s="31"/>
      <x:c r="H14" s="22" t="str">
        <x:f>IF(OR(D14="",E14=""),"PENDIENTE",IF(AND(D14="aprobar",E14="aprobar"),"TP",IF(AND(D14="rechazar",E14="rechazar"),"TN",IF(AND(D14="rechazar",E14="aprobar"),"FP","FN"))))</x:f>
        <x:v>PENDIENTE</x:v>
      </x:c>
      <x:c r="I14" s="31"/>
      <x:c r="J14" s="31"/>
      <x:c r="K14" s="34"/>
    </x:row>
    <x:row r="15">
      <x:c r="A15" s="28"/>
      <x:c r="B15" s="31"/>
      <x:c r="C15" s="31"/>
      <x:c r="D15" s="31"/>
      <x:c r="E15" s="31"/>
      <x:c r="F15" s="31"/>
      <x:c r="G15" s="31"/>
      <x:c r="H15" s="22" t="str">
        <x:f>IF(OR(D15="",E15=""),"PENDIENTE",IF(AND(D15="aprobar",E15="aprobar"),"TP",IF(AND(D15="rechazar",E15="rechazar"),"TN",IF(AND(D15="rechazar",E15="aprobar"),"FP","FN"))))</x:f>
        <x:v>PENDIENTE</x:v>
      </x:c>
      <x:c r="I15" s="31"/>
      <x:c r="J15" s="31"/>
      <x:c r="K15" s="34"/>
    </x:row>
    <x:row r="16">
      <x:c r="A16" s="28"/>
      <x:c r="B16" s="31"/>
      <x:c r="C16" s="31"/>
      <x:c r="D16" s="31"/>
      <x:c r="E16" s="31"/>
      <x:c r="F16" s="31"/>
      <x:c r="G16" s="31"/>
      <x:c r="H16" s="22" t="str">
        <x:f>IF(OR(D16="",E16=""),"PENDIENTE",IF(AND(D16="aprobar",E16="aprobar"),"TP",IF(AND(D16="rechazar",E16="rechazar"),"TN",IF(AND(D16="rechazar",E16="aprobar"),"FP","FN"))))</x:f>
        <x:v>PENDIENTE</x:v>
      </x:c>
      <x:c r="I16" s="31"/>
      <x:c r="J16" s="31"/>
      <x:c r="K16" s="34"/>
    </x:row>
    <x:row r="17">
      <x:c r="A17" s="28"/>
      <x:c r="B17" s="31"/>
      <x:c r="C17" s="31"/>
      <x:c r="D17" s="31"/>
      <x:c r="E17" s="31"/>
      <x:c r="F17" s="31"/>
      <x:c r="G17" s="31"/>
      <x:c r="H17" s="22" t="str">
        <x:f>IF(OR(D17="",E17=""),"PENDIENTE",IF(AND(D17="aprobar",E17="aprobar"),"TP",IF(AND(D17="rechazar",E17="rechazar"),"TN",IF(AND(D17="rechazar",E17="aprobar"),"FP","FN"))))</x:f>
        <x:v>PENDIENTE</x:v>
      </x:c>
      <x:c r="I17" s="31"/>
      <x:c r="J17" s="31"/>
      <x:c r="K17" s="34"/>
    </x:row>
    <x:row r="18">
      <x:c r="A18" s="28"/>
      <x:c r="B18" s="31"/>
      <x:c r="C18" s="31"/>
      <x:c r="D18" s="31"/>
      <x:c r="E18" s="31"/>
      <x:c r="F18" s="31"/>
      <x:c r="G18" s="31"/>
      <x:c r="H18" s="22" t="str">
        <x:f>IF(OR(D18="",E18=""),"PENDIENTE",IF(AND(D18="aprobar",E18="aprobar"),"TP",IF(AND(D18="rechazar",E18="rechazar"),"TN",IF(AND(D18="rechazar",E18="aprobar"),"FP","FN"))))</x:f>
        <x:v>PENDIENTE</x:v>
      </x:c>
      <x:c r="I18" s="31"/>
      <x:c r="J18" s="31"/>
      <x:c r="K18" s="34"/>
    </x:row>
    <x:row r="19">
      <x:c r="A19" s="28"/>
      <x:c r="B19" s="31"/>
      <x:c r="C19" s="31"/>
      <x:c r="D19" s="31"/>
      <x:c r="E19" s="31"/>
      <x:c r="F19" s="31"/>
      <x:c r="G19" s="31"/>
      <x:c r="H19" s="22" t="str">
        <x:f>IF(OR(D19="",E19=""),"PENDIENTE",IF(AND(D19="aprobar",E19="aprobar"),"TP",IF(AND(D19="rechazar",E19="rechazar"),"TN",IF(AND(D19="rechazar",E19="aprobar"),"FP","FN"))))</x:f>
        <x:v>PENDIENTE</x:v>
      </x:c>
      <x:c r="I19" s="31"/>
      <x:c r="J19" s="31"/>
      <x:c r="K19" s="34"/>
    </x:row>
    <x:row r="20">
      <x:c r="A20" s="28"/>
      <x:c r="B20" s="31"/>
      <x:c r="C20" s="31"/>
      <x:c r="D20" s="31"/>
      <x:c r="E20" s="31"/>
      <x:c r="F20" s="31"/>
      <x:c r="G20" s="31"/>
      <x:c r="H20" s="22" t="str">
        <x:f>IF(OR(D20="",E20=""),"PENDIENTE",IF(AND(D20="aprobar",E20="aprobar"),"TP",IF(AND(D20="rechazar",E20="rechazar"),"TN",IF(AND(D20="rechazar",E20="aprobar"),"FP","FN"))))</x:f>
        <x:v>PENDIENTE</x:v>
      </x:c>
      <x:c r="I20" s="31"/>
      <x:c r="J20" s="31"/>
      <x:c r="K20" s="34"/>
    </x:row>
    <x:row r="21">
      <x:c r="A21" s="28"/>
      <x:c r="B21" s="31"/>
      <x:c r="C21" s="31"/>
      <x:c r="D21" s="31"/>
      <x:c r="E21" s="31"/>
      <x:c r="F21" s="31"/>
      <x:c r="G21" s="31"/>
      <x:c r="H21" s="22" t="str">
        <x:f>IF(OR(D21="",E21=""),"PENDIENTE",IF(AND(D21="aprobar",E21="aprobar"),"TP",IF(AND(D21="rechazar",E21="rechazar"),"TN",IF(AND(D21="rechazar",E21="aprobar"),"FP","FN"))))</x:f>
        <x:v>PENDIENTE</x:v>
      </x:c>
      <x:c r="I21" s="31"/>
      <x:c r="J21" s="31"/>
      <x:c r="K21" s="34"/>
    </x:row>
    <x:row r="22">
      <x:c r="A22" s="28"/>
      <x:c r="B22" s="31"/>
      <x:c r="C22" s="31"/>
      <x:c r="D22" s="31"/>
      <x:c r="E22" s="31"/>
      <x:c r="F22" s="31"/>
      <x:c r="G22" s="31"/>
      <x:c r="H22" s="22" t="str">
        <x:f>IF(OR(D22="",E22=""),"PENDIENTE",IF(AND(D22="aprobar",E22="aprobar"),"TP",IF(AND(D22="rechazar",E22="rechazar"),"TN",IF(AND(D22="rechazar",E22="aprobar"),"FP","FN"))))</x:f>
        <x:v>PENDIENTE</x:v>
      </x:c>
      <x:c r="I22" s="31"/>
      <x:c r="J22" s="31"/>
      <x:c r="K22" s="34"/>
    </x:row>
    <x:row r="23">
      <x:c r="A23" s="28"/>
      <x:c r="B23" s="31"/>
      <x:c r="C23" s="31"/>
      <x:c r="D23" s="31"/>
      <x:c r="E23" s="31"/>
      <x:c r="F23" s="31"/>
      <x:c r="G23" s="31"/>
      <x:c r="H23" s="22" t="str">
        <x:f>IF(OR(D23="",E23=""),"PENDIENTE",IF(AND(D23="aprobar",E23="aprobar"),"TP",IF(AND(D23="rechazar",E23="rechazar"),"TN",IF(AND(D23="rechazar",E23="aprobar"),"FP","FN"))))</x:f>
        <x:v>PENDIENTE</x:v>
      </x:c>
      <x:c r="I23" s="31"/>
      <x:c r="J23" s="31"/>
      <x:c r="K23" s="34"/>
    </x:row>
    <x:row r="24">
      <x:c r="A24" s="28"/>
      <x:c r="B24" s="31"/>
      <x:c r="C24" s="31"/>
      <x:c r="D24" s="31"/>
      <x:c r="E24" s="31"/>
      <x:c r="F24" s="31"/>
      <x:c r="G24" s="31"/>
      <x:c r="H24" s="22" t="str">
        <x:f>IF(OR(D24="",E24=""),"PENDIENTE",IF(AND(D24="aprobar",E24="aprobar"),"TP",IF(AND(D24="rechazar",E24="rechazar"),"TN",IF(AND(D24="rechazar",E24="aprobar"),"FP","FN"))))</x:f>
        <x:v>PENDIENTE</x:v>
      </x:c>
      <x:c r="I24" s="31"/>
      <x:c r="J24" s="31"/>
      <x:c r="K24" s="34"/>
    </x:row>
    <x:row r="25">
      <x:c r="A25" s="28"/>
      <x:c r="B25" s="31"/>
      <x:c r="C25" s="31"/>
      <x:c r="D25" s="31"/>
      <x:c r="E25" s="31"/>
      <x:c r="F25" s="31"/>
      <x:c r="G25" s="31"/>
      <x:c r="H25" s="22" t="str">
        <x:f>IF(OR(D25="",E25=""),"PENDIENTE",IF(AND(D25="aprobar",E25="aprobar"),"TP",IF(AND(D25="rechazar",E25="rechazar"),"TN",IF(AND(D25="rechazar",E25="aprobar"),"FP","FN"))))</x:f>
        <x:v>PENDIENTE</x:v>
      </x:c>
      <x:c r="I25" s="31"/>
      <x:c r="J25" s="31"/>
      <x:c r="K25" s="34"/>
    </x:row>
    <x:row r="26">
      <x:c r="A26" s="28"/>
      <x:c r="B26" s="31"/>
      <x:c r="C26" s="31"/>
      <x:c r="D26" s="31"/>
      <x:c r="E26" s="31"/>
      <x:c r="F26" s="31"/>
      <x:c r="G26" s="31"/>
      <x:c r="H26" s="22" t="str">
        <x:f>IF(OR(D26="",E26=""),"PENDIENTE",IF(AND(D26="aprobar",E26="aprobar"),"TP",IF(AND(D26="rechazar",E26="rechazar"),"TN",IF(AND(D26="rechazar",E26="aprobar"),"FP","FN"))))</x:f>
        <x:v>PENDIENTE</x:v>
      </x:c>
      <x:c r="I26" s="31"/>
      <x:c r="J26" s="31"/>
      <x:c r="K26" s="34"/>
    </x:row>
    <x:row r="27">
      <x:c r="A27" s="28"/>
      <x:c r="B27" s="31"/>
      <x:c r="C27" s="31"/>
      <x:c r="D27" s="31"/>
      <x:c r="E27" s="31"/>
      <x:c r="F27" s="31"/>
      <x:c r="G27" s="31"/>
      <x:c r="H27" s="22" t="str">
        <x:f>IF(OR(D27="",E27=""),"PENDIENTE",IF(AND(D27="aprobar",E27="aprobar"),"TP",IF(AND(D27="rechazar",E27="rechazar"),"TN",IF(AND(D27="rechazar",E27="aprobar"),"FP","FN"))))</x:f>
        <x:v>PENDIENTE</x:v>
      </x:c>
      <x:c r="I27" s="31"/>
      <x:c r="J27" s="31"/>
      <x:c r="K27" s="34"/>
    </x:row>
    <x:row r="28">
      <x:c r="A28" s="28"/>
      <x:c r="B28" s="31"/>
      <x:c r="C28" s="31"/>
      <x:c r="D28" s="31"/>
      <x:c r="E28" s="31"/>
      <x:c r="F28" s="31"/>
      <x:c r="G28" s="31"/>
      <x:c r="H28" s="22" t="str">
        <x:f>IF(OR(D28="",E28=""),"PENDIENTE",IF(AND(D28="aprobar",E28="aprobar"),"TP",IF(AND(D28="rechazar",E28="rechazar"),"TN",IF(AND(D28="rechazar",E28="aprobar"),"FP","FN"))))</x:f>
        <x:v>PENDIENTE</x:v>
      </x:c>
      <x:c r="I28" s="31"/>
      <x:c r="J28" s="31"/>
      <x:c r="K28" s="34"/>
    </x:row>
    <x:row r="29">
      <x:c r="A29" s="28"/>
      <x:c r="B29" s="31"/>
      <x:c r="C29" s="31"/>
      <x:c r="D29" s="31"/>
      <x:c r="E29" s="31"/>
      <x:c r="F29" s="31"/>
      <x:c r="G29" s="31"/>
      <x:c r="H29" s="22" t="str">
        <x:f>IF(OR(D29="",E29=""),"PENDIENTE",IF(AND(D29="aprobar",E29="aprobar"),"TP",IF(AND(D29="rechazar",E29="rechazar"),"TN",IF(AND(D29="rechazar",E29="aprobar"),"FP","FN"))))</x:f>
        <x:v>PENDIENTE</x:v>
      </x:c>
      <x:c r="I29" s="31"/>
      <x:c r="J29" s="31"/>
      <x:c r="K29" s="34"/>
    </x:row>
    <x:row r="30">
      <x:c r="A30" s="28"/>
      <x:c r="B30" s="31"/>
      <x:c r="C30" s="31"/>
      <x:c r="D30" s="31"/>
      <x:c r="E30" s="31"/>
      <x:c r="F30" s="31"/>
      <x:c r="G30" s="31"/>
      <x:c r="H30" s="22" t="str">
        <x:f>IF(OR(D30="",E30=""),"PENDIENTE",IF(AND(D30="aprobar",E30="aprobar"),"TP",IF(AND(D30="rechazar",E30="rechazar"),"TN",IF(AND(D30="rechazar",E30="aprobar"),"FP","FN"))))</x:f>
        <x:v>PENDIENTE</x:v>
      </x:c>
      <x:c r="I30" s="31"/>
      <x:c r="J30" s="31"/>
      <x:c r="K30" s="34"/>
    </x:row>
    <x:row r="31">
      <x:c r="A31" s="28"/>
      <x:c r="B31" s="31"/>
      <x:c r="C31" s="31"/>
      <x:c r="D31" s="31"/>
      <x:c r="E31" s="31"/>
      <x:c r="F31" s="31"/>
      <x:c r="G31" s="31"/>
      <x:c r="H31" s="22" t="str">
        <x:f>IF(OR(D31="",E31=""),"PENDIENTE",IF(AND(D31="aprobar",E31="aprobar"),"TP",IF(AND(D31="rechazar",E31="rechazar"),"TN",IF(AND(D31="rechazar",E31="aprobar"),"FP","FN"))))</x:f>
        <x:v>PENDIENTE</x:v>
      </x:c>
      <x:c r="I31" s="31"/>
      <x:c r="J31" s="31"/>
      <x:c r="K31" s="34"/>
    </x:row>
    <x:row r="32">
      <x:c r="A32" s="28"/>
      <x:c r="B32" s="31"/>
      <x:c r="C32" s="31"/>
      <x:c r="D32" s="31"/>
      <x:c r="E32" s="31"/>
      <x:c r="F32" s="31"/>
      <x:c r="G32" s="31"/>
      <x:c r="H32" s="22" t="str">
        <x:f>IF(OR(D32="",E32=""),"PENDIENTE",IF(AND(D32="aprobar",E32="aprobar"),"TP",IF(AND(D32="rechazar",E32="rechazar"),"TN",IF(AND(D32="rechazar",E32="aprobar"),"FP","FN"))))</x:f>
        <x:v>PENDIENTE</x:v>
      </x:c>
      <x:c r="I32" s="31"/>
      <x:c r="J32" s="31"/>
      <x:c r="K32" s="34"/>
    </x:row>
    <x:row r="33">
      <x:c r="A33" s="28"/>
      <x:c r="B33" s="31"/>
      <x:c r="C33" s="31"/>
      <x:c r="D33" s="31"/>
      <x:c r="E33" s="31"/>
      <x:c r="F33" s="31"/>
      <x:c r="G33" s="31"/>
      <x:c r="H33" s="22" t="str">
        <x:f>IF(OR(D33="",E33=""),"PENDIENTE",IF(AND(D33="aprobar",E33="aprobar"),"TP",IF(AND(D33="rechazar",E33="rechazar"),"TN",IF(AND(D33="rechazar",E33="aprobar"),"FP","FN"))))</x:f>
        <x:v>PENDIENTE</x:v>
      </x:c>
      <x:c r="I33" s="31"/>
      <x:c r="J33" s="31"/>
      <x:c r="K33" s="34"/>
    </x:row>
    <x:row r="34">
      <x:c r="A34" s="28"/>
      <x:c r="B34" s="31"/>
      <x:c r="C34" s="31"/>
      <x:c r="D34" s="31"/>
      <x:c r="E34" s="31"/>
      <x:c r="F34" s="31"/>
      <x:c r="G34" s="31"/>
      <x:c r="H34" s="22" t="str">
        <x:f>IF(OR(D34="",E34=""),"PENDIENTE",IF(AND(D34="aprobar",E34="aprobar"),"TP",IF(AND(D34="rechazar",E34="rechazar"),"TN",IF(AND(D34="rechazar",E34="aprobar"),"FP","FN"))))</x:f>
        <x:v>PENDIENTE</x:v>
      </x:c>
      <x:c r="I34" s="31"/>
      <x:c r="J34" s="31"/>
      <x:c r="K34" s="34"/>
    </x:row>
    <x:row r="35">
      <x:c r="A35" s="28"/>
      <x:c r="B35" s="31"/>
      <x:c r="C35" s="31"/>
      <x:c r="D35" s="31"/>
      <x:c r="E35" s="31"/>
      <x:c r="F35" s="31"/>
      <x:c r="G35" s="31"/>
      <x:c r="H35" s="22" t="str">
        <x:f>IF(OR(D35="",E35=""),"PENDIENTE",IF(AND(D35="aprobar",E35="aprobar"),"TP",IF(AND(D35="rechazar",E35="rechazar"),"TN",IF(AND(D35="rechazar",E35="aprobar"),"FP","FN"))))</x:f>
        <x:v>PENDIENTE</x:v>
      </x:c>
      <x:c r="I35" s="31"/>
      <x:c r="J35" s="31"/>
      <x:c r="K35" s="34"/>
    </x:row>
    <x:row r="36">
      <x:c r="A36" s="28"/>
      <x:c r="B36" s="31"/>
      <x:c r="C36" s="31"/>
      <x:c r="D36" s="31"/>
      <x:c r="E36" s="31"/>
      <x:c r="F36" s="31"/>
      <x:c r="G36" s="31"/>
      <x:c r="H36" s="22" t="str">
        <x:f>IF(OR(D36="",E36=""),"PENDIENTE",IF(AND(D36="aprobar",E36="aprobar"),"TP",IF(AND(D36="rechazar",E36="rechazar"),"TN",IF(AND(D36="rechazar",E36="aprobar"),"FP","FN"))))</x:f>
        <x:v>PENDIENTE</x:v>
      </x:c>
      <x:c r="I36" s="31"/>
      <x:c r="J36" s="31"/>
      <x:c r="K36" s="34"/>
    </x:row>
    <x:row r="37">
      <x:c r="A37" s="28"/>
      <x:c r="B37" s="31"/>
      <x:c r="C37" s="31"/>
      <x:c r="D37" s="31"/>
      <x:c r="E37" s="31"/>
      <x:c r="F37" s="31"/>
      <x:c r="G37" s="31"/>
      <x:c r="H37" s="22" t="str">
        <x:f>IF(OR(D37="",E37=""),"PENDIENTE",IF(AND(D37="aprobar",E37="aprobar"),"TP",IF(AND(D37="rechazar",E37="rechazar"),"TN",IF(AND(D37="rechazar",E37="aprobar"),"FP","FN"))))</x:f>
        <x:v>PENDIENTE</x:v>
      </x:c>
      <x:c r="I37" s="31"/>
      <x:c r="J37" s="31"/>
      <x:c r="K37" s="34"/>
    </x:row>
    <x:row r="38">
      <x:c r="A38" s="28"/>
      <x:c r="B38" s="31"/>
      <x:c r="C38" s="31"/>
      <x:c r="D38" s="31"/>
      <x:c r="E38" s="31"/>
      <x:c r="F38" s="31"/>
      <x:c r="G38" s="31"/>
      <x:c r="H38" s="22" t="str">
        <x:f>IF(OR(D38="",E38=""),"PENDIENTE",IF(AND(D38="aprobar",E38="aprobar"),"TP",IF(AND(D38="rechazar",E38="rechazar"),"TN",IF(AND(D38="rechazar",E38="aprobar"),"FP","FN"))))</x:f>
        <x:v>PENDIENTE</x:v>
      </x:c>
      <x:c r="I38" s="31"/>
      <x:c r="J38" s="31"/>
      <x:c r="K38" s="34"/>
    </x:row>
    <x:row r="39">
      <x:c r="A39" s="28"/>
      <x:c r="B39" s="31"/>
      <x:c r="C39" s="31"/>
      <x:c r="D39" s="31"/>
      <x:c r="E39" s="31"/>
      <x:c r="F39" s="31"/>
      <x:c r="G39" s="31"/>
      <x:c r="H39" s="22" t="str">
        <x:f>IF(OR(D39="",E39=""),"PENDIENTE",IF(AND(D39="aprobar",E39="aprobar"),"TP",IF(AND(D39="rechazar",E39="rechazar"),"TN",IF(AND(D39="rechazar",E39="aprobar"),"FP","FN"))))</x:f>
        <x:v>PENDIENTE</x:v>
      </x:c>
      <x:c r="I39" s="31"/>
      <x:c r="J39" s="31"/>
      <x:c r="K39" s="34"/>
    </x:row>
    <x:row r="40">
      <x:c r="A40" s="28"/>
      <x:c r="B40" s="31"/>
      <x:c r="C40" s="31"/>
      <x:c r="D40" s="31"/>
      <x:c r="E40" s="31"/>
      <x:c r="F40" s="31"/>
      <x:c r="G40" s="31"/>
      <x:c r="H40" s="22" t="str">
        <x:f>IF(OR(D40="",E40=""),"PENDIENTE",IF(AND(D40="aprobar",E40="aprobar"),"TP",IF(AND(D40="rechazar",E40="rechazar"),"TN",IF(AND(D40="rechazar",E40="aprobar"),"FP","FN"))))</x:f>
        <x:v>PENDIENTE</x:v>
      </x:c>
      <x:c r="I40" s="31"/>
      <x:c r="J40" s="31"/>
      <x:c r="K40" s="34"/>
    </x:row>
    <x:row r="41">
      <x:c r="A41" s="28"/>
      <x:c r="B41" s="31"/>
      <x:c r="C41" s="31"/>
      <x:c r="D41" s="31"/>
      <x:c r="E41" s="31"/>
      <x:c r="F41" s="31"/>
      <x:c r="G41" s="31"/>
      <x:c r="H41" s="22" t="str">
        <x:f>IF(OR(D41="",E41=""),"PENDIENTE",IF(AND(D41="aprobar",E41="aprobar"),"TP",IF(AND(D41="rechazar",E41="rechazar"),"TN",IF(AND(D41="rechazar",E41="aprobar"),"FP","FN"))))</x:f>
        <x:v>PENDIENTE</x:v>
      </x:c>
      <x:c r="I41" s="31"/>
      <x:c r="J41" s="31"/>
      <x:c r="K41" s="34"/>
    </x:row>
    <x:row r="42">
      <x:c r="A42" s="28"/>
      <x:c r="B42" s="31"/>
      <x:c r="C42" s="31"/>
      <x:c r="D42" s="31"/>
      <x:c r="E42" s="31"/>
      <x:c r="F42" s="31"/>
      <x:c r="G42" s="31"/>
      <x:c r="H42" s="22" t="str">
        <x:f>IF(OR(D42="",E42=""),"PENDIENTE",IF(AND(D42="aprobar",E42="aprobar"),"TP",IF(AND(D42="rechazar",E42="rechazar"),"TN",IF(AND(D42="rechazar",E42="aprobar"),"FP","FN"))))</x:f>
        <x:v>PENDIENTE</x:v>
      </x:c>
      <x:c r="I42" s="31"/>
      <x:c r="J42" s="31"/>
      <x:c r="K42" s="34"/>
    </x:row>
    <x:row r="43">
      <x:c r="A43" s="28"/>
      <x:c r="B43" s="31"/>
      <x:c r="C43" s="31"/>
      <x:c r="D43" s="31"/>
      <x:c r="E43" s="31"/>
      <x:c r="F43" s="31"/>
      <x:c r="G43" s="31"/>
      <x:c r="H43" s="22" t="str">
        <x:f>IF(OR(D43="",E43=""),"PENDIENTE",IF(AND(D43="aprobar",E43="aprobar"),"TP",IF(AND(D43="rechazar",E43="rechazar"),"TN",IF(AND(D43="rechazar",E43="aprobar"),"FP","FN"))))</x:f>
        <x:v>PENDIENTE</x:v>
      </x:c>
      <x:c r="I43" s="31"/>
      <x:c r="J43" s="31"/>
      <x:c r="K43" s="34"/>
    </x:row>
    <x:row r="44">
      <x:c r="A44" s="28"/>
      <x:c r="B44" s="31"/>
      <x:c r="C44" s="31"/>
      <x:c r="D44" s="31"/>
      <x:c r="E44" s="31"/>
      <x:c r="F44" s="31"/>
      <x:c r="G44" s="31"/>
      <x:c r="H44" s="22" t="str">
        <x:f>IF(OR(D44="",E44=""),"PENDIENTE",IF(AND(D44="aprobar",E44="aprobar"),"TP",IF(AND(D44="rechazar",E44="rechazar"),"TN",IF(AND(D44="rechazar",E44="aprobar"),"FP","FN"))))</x:f>
        <x:v>PENDIENTE</x:v>
      </x:c>
      <x:c r="I44" s="31"/>
      <x:c r="J44" s="31"/>
      <x:c r="K44" s="34"/>
    </x:row>
    <x:row r="45">
      <x:c r="A45" s="28"/>
      <x:c r="B45" s="31"/>
      <x:c r="C45" s="31"/>
      <x:c r="D45" s="31"/>
      <x:c r="E45" s="31"/>
      <x:c r="F45" s="31"/>
      <x:c r="G45" s="31"/>
      <x:c r="H45" s="22" t="str">
        <x:f>IF(OR(D45="",E45=""),"PENDIENTE",IF(AND(D45="aprobar",E45="aprobar"),"TP",IF(AND(D45="rechazar",E45="rechazar"),"TN",IF(AND(D45="rechazar",E45="aprobar"),"FP","FN"))))</x:f>
        <x:v>PENDIENTE</x:v>
      </x:c>
      <x:c r="I45" s="31"/>
      <x:c r="J45" s="31"/>
      <x:c r="K45" s="34"/>
    </x:row>
    <x:row r="46">
      <x:c r="A46" s="28"/>
      <x:c r="B46" s="31"/>
      <x:c r="C46" s="31"/>
      <x:c r="D46" s="31"/>
      <x:c r="E46" s="31"/>
      <x:c r="F46" s="31"/>
      <x:c r="G46" s="31"/>
      <x:c r="H46" s="22" t="str">
        <x:f>IF(OR(D46="",E46=""),"PENDIENTE",IF(AND(D46="aprobar",E46="aprobar"),"TP",IF(AND(D46="rechazar",E46="rechazar"),"TN",IF(AND(D46="rechazar",E46="aprobar"),"FP","FN"))))</x:f>
        <x:v>PENDIENTE</x:v>
      </x:c>
      <x:c r="I46" s="31"/>
      <x:c r="J46" s="31"/>
      <x:c r="K46" s="34"/>
    </x:row>
    <x:row r="47">
      <x:c r="A47" s="28"/>
      <x:c r="B47" s="31"/>
      <x:c r="C47" s="31"/>
      <x:c r="D47" s="31"/>
      <x:c r="E47" s="31"/>
      <x:c r="F47" s="31"/>
      <x:c r="G47" s="31"/>
      <x:c r="H47" s="22" t="str">
        <x:f>IF(OR(D47="",E47=""),"PENDIENTE",IF(AND(D47="aprobar",E47="aprobar"),"TP",IF(AND(D47="rechazar",E47="rechazar"),"TN",IF(AND(D47="rechazar",E47="aprobar"),"FP","FN"))))</x:f>
        <x:v>PENDIENTE</x:v>
      </x:c>
      <x:c r="I47" s="31"/>
      <x:c r="J47" s="31"/>
      <x:c r="K47" s="34"/>
    </x:row>
    <x:row r="48">
      <x:c r="A48" s="28"/>
      <x:c r="B48" s="31"/>
      <x:c r="C48" s="31"/>
      <x:c r="D48" s="31"/>
      <x:c r="E48" s="31"/>
      <x:c r="F48" s="31"/>
      <x:c r="G48" s="31"/>
      <x:c r="H48" s="22" t="str">
        <x:f>IF(OR(D48="",E48=""),"PENDIENTE",IF(AND(D48="aprobar",E48="aprobar"),"TP",IF(AND(D48="rechazar",E48="rechazar"),"TN",IF(AND(D48="rechazar",E48="aprobar"),"FP","FN"))))</x:f>
        <x:v>PENDIENTE</x:v>
      </x:c>
      <x:c r="I48" s="31"/>
      <x:c r="J48" s="31"/>
      <x:c r="K48" s="34"/>
    </x:row>
    <x:row r="49">
      <x:c r="A49" s="28"/>
      <x:c r="B49" s="31"/>
      <x:c r="C49" s="31"/>
      <x:c r="D49" s="31"/>
      <x:c r="E49" s="31"/>
      <x:c r="F49" s="31"/>
      <x:c r="G49" s="31"/>
      <x:c r="H49" s="22" t="str">
        <x:f>IF(OR(D49="",E49=""),"PENDIENTE",IF(AND(D49="aprobar",E49="aprobar"),"TP",IF(AND(D49="rechazar",E49="rechazar"),"TN",IF(AND(D49="rechazar",E49="aprobar"),"FP","FN"))))</x:f>
        <x:v>PENDIENTE</x:v>
      </x:c>
      <x:c r="I49" s="31"/>
      <x:c r="J49" s="31"/>
      <x:c r="K49" s="34"/>
    </x:row>
    <x:row r="50">
      <x:c r="A50" s="28"/>
      <x:c r="B50" s="31"/>
      <x:c r="C50" s="31"/>
      <x:c r="D50" s="31"/>
      <x:c r="E50" s="31"/>
      <x:c r="F50" s="31"/>
      <x:c r="G50" s="31"/>
      <x:c r="H50" s="22" t="str">
        <x:f>IF(OR(D50="",E50=""),"PENDIENTE",IF(AND(D50="aprobar",E50="aprobar"),"TP",IF(AND(D50="rechazar",E50="rechazar"),"TN",IF(AND(D50="rechazar",E50="aprobar"),"FP","FN"))))</x:f>
        <x:v>PENDIENTE</x:v>
      </x:c>
      <x:c r="I50" s="31"/>
      <x:c r="J50" s="31"/>
      <x:c r="K50" s="34"/>
    </x:row>
    <x:row r="51">
      <x:c r="A51" s="28"/>
      <x:c r="B51" s="31"/>
      <x:c r="C51" s="31"/>
      <x:c r="D51" s="31"/>
      <x:c r="E51" s="31"/>
      <x:c r="F51" s="31"/>
      <x:c r="G51" s="31"/>
      <x:c r="H51" s="22" t="str">
        <x:f>IF(OR(D51="",E51=""),"PENDIENTE",IF(AND(D51="aprobar",E51="aprobar"),"TP",IF(AND(D51="rechazar",E51="rechazar"),"TN",IF(AND(D51="rechazar",E51="aprobar"),"FP","FN"))))</x:f>
        <x:v>PENDIENTE</x:v>
      </x:c>
      <x:c r="I51" s="31"/>
      <x:c r="J51" s="31"/>
      <x:c r="K51" s="34"/>
    </x:row>
    <x:row r="52">
      <x:c r="A52" s="28"/>
      <x:c r="B52" s="31"/>
      <x:c r="C52" s="31"/>
      <x:c r="D52" s="31"/>
      <x:c r="E52" s="31"/>
      <x:c r="F52" s="31"/>
      <x:c r="G52" s="31"/>
      <x:c r="H52" s="22" t="str">
        <x:f>IF(OR(D52="",E52=""),"PENDIENTE",IF(AND(D52="aprobar",E52="aprobar"),"TP",IF(AND(D52="rechazar",E52="rechazar"),"TN",IF(AND(D52="rechazar",E52="aprobar"),"FP","FN"))))</x:f>
        <x:v>PENDIENTE</x:v>
      </x:c>
      <x:c r="I52" s="31"/>
      <x:c r="J52" s="31"/>
      <x:c r="K52" s="34"/>
    </x:row>
    <x:row r="53">
      <x:c r="A53" s="28"/>
      <x:c r="B53" s="31"/>
      <x:c r="C53" s="31"/>
      <x:c r="D53" s="31"/>
      <x:c r="E53" s="31"/>
      <x:c r="F53" s="31"/>
      <x:c r="G53" s="31"/>
      <x:c r="H53" s="22" t="str">
        <x:f>IF(OR(D53="",E53=""),"PENDIENTE",IF(AND(D53="aprobar",E53="aprobar"),"TP",IF(AND(D53="rechazar",E53="rechazar"),"TN",IF(AND(D53="rechazar",E53="aprobar"),"FP","FN"))))</x:f>
        <x:v>PENDIENTE</x:v>
      </x:c>
      <x:c r="I53" s="31"/>
      <x:c r="J53" s="31"/>
      <x:c r="K53" s="34"/>
    </x:row>
    <x:row r="54">
      <x:c r="A54" s="28"/>
      <x:c r="B54" s="31"/>
      <x:c r="C54" s="31"/>
      <x:c r="D54" s="31"/>
      <x:c r="E54" s="31"/>
      <x:c r="F54" s="31"/>
      <x:c r="G54" s="31"/>
      <x:c r="H54" s="22" t="str">
        <x:f>IF(OR(D54="",E54=""),"PENDIENTE",IF(AND(D54="aprobar",E54="aprobar"),"TP",IF(AND(D54="rechazar",E54="rechazar"),"TN",IF(AND(D54="rechazar",E54="aprobar"),"FP","FN"))))</x:f>
        <x:v>PENDIENTE</x:v>
      </x:c>
      <x:c r="I54" s="31"/>
      <x:c r="J54" s="31"/>
      <x:c r="K54" s="34"/>
    </x:row>
    <x:row r="55">
      <x:c r="A55" s="28"/>
      <x:c r="B55" s="31"/>
      <x:c r="C55" s="31"/>
      <x:c r="D55" s="31"/>
      <x:c r="E55" s="31"/>
      <x:c r="F55" s="31"/>
      <x:c r="G55" s="31"/>
      <x:c r="H55" s="22" t="str">
        <x:f>IF(OR(D55="",E55=""),"PENDIENTE",IF(AND(D55="aprobar",E55="aprobar"),"TP",IF(AND(D55="rechazar",E55="rechazar"),"TN",IF(AND(D55="rechazar",E55="aprobar"),"FP","FN"))))</x:f>
        <x:v>PENDIENTE</x:v>
      </x:c>
      <x:c r="I55" s="31"/>
      <x:c r="J55" s="31"/>
      <x:c r="K55" s="34"/>
    </x:row>
    <x:row r="56">
      <x:c r="A56" s="28"/>
      <x:c r="B56" s="31"/>
      <x:c r="C56" s="31"/>
      <x:c r="D56" s="31"/>
      <x:c r="E56" s="31"/>
      <x:c r="F56" s="31"/>
      <x:c r="G56" s="31"/>
      <x:c r="H56" s="22" t="str">
        <x:f>IF(OR(D56="",E56=""),"PENDIENTE",IF(AND(D56="aprobar",E56="aprobar"),"TP",IF(AND(D56="rechazar",E56="rechazar"),"TN",IF(AND(D56="rechazar",E56="aprobar"),"FP","FN"))))</x:f>
        <x:v>PENDIENTE</x:v>
      </x:c>
      <x:c r="I56" s="31"/>
      <x:c r="J56" s="31"/>
      <x:c r="K56" s="34"/>
    </x:row>
    <x:row r="57">
      <x:c r="A57" s="28"/>
      <x:c r="B57" s="31"/>
      <x:c r="C57" s="31"/>
      <x:c r="D57" s="31"/>
      <x:c r="E57" s="31"/>
      <x:c r="F57" s="31"/>
      <x:c r="G57" s="31"/>
      <x:c r="H57" s="22" t="str">
        <x:f>IF(OR(D57="",E57=""),"PENDIENTE",IF(AND(D57="aprobar",E57="aprobar"),"TP",IF(AND(D57="rechazar",E57="rechazar"),"TN",IF(AND(D57="rechazar",E57="aprobar"),"FP","FN"))))</x:f>
        <x:v>PENDIENTE</x:v>
      </x:c>
      <x:c r="I57" s="31"/>
      <x:c r="J57" s="31"/>
      <x:c r="K57" s="34"/>
    </x:row>
    <x:row r="58">
      <x:c r="A58" s="28"/>
      <x:c r="B58" s="31"/>
      <x:c r="C58" s="31"/>
      <x:c r="D58" s="31"/>
      <x:c r="E58" s="31"/>
      <x:c r="F58" s="31"/>
      <x:c r="G58" s="31"/>
      <x:c r="H58" s="22" t="str">
        <x:f>IF(OR(D58="",E58=""),"PENDIENTE",IF(AND(D58="aprobar",E58="aprobar"),"TP",IF(AND(D58="rechazar",E58="rechazar"),"TN",IF(AND(D58="rechazar",E58="aprobar"),"FP","FN"))))</x:f>
        <x:v>PENDIENTE</x:v>
      </x:c>
      <x:c r="I58" s="31"/>
      <x:c r="J58" s="31"/>
      <x:c r="K58" s="34"/>
    </x:row>
    <x:row r="59">
      <x:c r="A59" s="28"/>
      <x:c r="B59" s="31"/>
      <x:c r="C59" s="31"/>
      <x:c r="D59" s="31"/>
      <x:c r="E59" s="31"/>
      <x:c r="F59" s="31"/>
      <x:c r="G59" s="31"/>
      <x:c r="H59" s="22" t="str">
        <x:f>IF(OR(D59="",E59=""),"PENDIENTE",IF(AND(D59="aprobar",E59="aprobar"),"TP",IF(AND(D59="rechazar",E59="rechazar"),"TN",IF(AND(D59="rechazar",E59="aprobar"),"FP","FN"))))</x:f>
        <x:v>PENDIENTE</x:v>
      </x:c>
      <x:c r="I59" s="31"/>
      <x:c r="J59" s="31"/>
      <x:c r="K59" s="34"/>
    </x:row>
    <x:row r="60">
      <x:c r="A60" s="28"/>
      <x:c r="B60" s="31"/>
      <x:c r="C60" s="31"/>
      <x:c r="D60" s="31"/>
      <x:c r="E60" s="31"/>
      <x:c r="F60" s="31"/>
      <x:c r="G60" s="31"/>
      <x:c r="H60" s="22" t="str">
        <x:f>IF(OR(D60="",E60=""),"PENDIENTE",IF(AND(D60="aprobar",E60="aprobar"),"TP",IF(AND(D60="rechazar",E60="rechazar"),"TN",IF(AND(D60="rechazar",E60="aprobar"),"FP","FN"))))</x:f>
        <x:v>PENDIENTE</x:v>
      </x:c>
      <x:c r="I60" s="31"/>
      <x:c r="J60" s="31"/>
      <x:c r="K60" s="34"/>
    </x:row>
    <x:row r="61">
      <x:c r="A61" s="28"/>
      <x:c r="B61" s="31"/>
      <x:c r="C61" s="31"/>
      <x:c r="D61" s="31"/>
      <x:c r="E61" s="31"/>
      <x:c r="F61" s="31"/>
      <x:c r="G61" s="31"/>
      <x:c r="H61" s="22" t="str">
        <x:f>IF(OR(D61="",E61=""),"PENDIENTE",IF(AND(D61="aprobar",E61="aprobar"),"TP",IF(AND(D61="rechazar",E61="rechazar"),"TN",IF(AND(D61="rechazar",E61="aprobar"),"FP","FN"))))</x:f>
        <x:v>PENDIENTE</x:v>
      </x:c>
      <x:c r="I61" s="31"/>
      <x:c r="J61" s="31"/>
      <x:c r="K61" s="34"/>
    </x:row>
    <x:row r="62">
      <x:c r="A62" s="28"/>
      <x:c r="B62" s="31"/>
      <x:c r="C62" s="31"/>
      <x:c r="D62" s="31"/>
      <x:c r="E62" s="31"/>
      <x:c r="F62" s="31"/>
      <x:c r="G62" s="31"/>
      <x:c r="H62" s="22" t="str">
        <x:f>IF(OR(D62="",E62=""),"PENDIENTE",IF(AND(D62="aprobar",E62="aprobar"),"TP",IF(AND(D62="rechazar",E62="rechazar"),"TN",IF(AND(D62="rechazar",E62="aprobar"),"FP","FN"))))</x:f>
        <x:v>PENDIENTE</x:v>
      </x:c>
      <x:c r="I62" s="31"/>
      <x:c r="J62" s="31"/>
      <x:c r="K62" s="34"/>
    </x:row>
    <x:row r="63">
      <x:c r="A63" s="28"/>
      <x:c r="B63" s="31"/>
      <x:c r="C63" s="31"/>
      <x:c r="D63" s="31"/>
      <x:c r="E63" s="31"/>
      <x:c r="F63" s="31"/>
      <x:c r="G63" s="31"/>
      <x:c r="H63" s="22" t="str">
        <x:f>IF(OR(D63="",E63=""),"PENDIENTE",IF(AND(D63="aprobar",E63="aprobar"),"TP",IF(AND(D63="rechazar",E63="rechazar"),"TN",IF(AND(D63="rechazar",E63="aprobar"),"FP","FN"))))</x:f>
        <x:v>PENDIENTE</x:v>
      </x:c>
      <x:c r="I63" s="31"/>
      <x:c r="J63" s="31"/>
      <x:c r="K63" s="34"/>
    </x:row>
    <x:row r="64">
      <x:c r="A64" s="28"/>
      <x:c r="B64" s="31"/>
      <x:c r="C64" s="31"/>
      <x:c r="D64" s="31"/>
      <x:c r="E64" s="31"/>
      <x:c r="F64" s="31"/>
      <x:c r="G64" s="31"/>
      <x:c r="H64" s="22" t="str">
        <x:f>IF(OR(D64="",E64=""),"PENDIENTE",IF(AND(D64="aprobar",E64="aprobar"),"TP",IF(AND(D64="rechazar",E64="rechazar"),"TN",IF(AND(D64="rechazar",E64="aprobar"),"FP","FN"))))</x:f>
        <x:v>PENDIENTE</x:v>
      </x:c>
      <x:c r="I64" s="31"/>
      <x:c r="J64" s="31"/>
      <x:c r="K64" s="34"/>
    </x:row>
    <x:row r="65">
      <x:c r="A65" s="28"/>
      <x:c r="B65" s="31"/>
      <x:c r="C65" s="31"/>
      <x:c r="D65" s="31"/>
      <x:c r="E65" s="31"/>
      <x:c r="F65" s="31"/>
      <x:c r="G65" s="31"/>
      <x:c r="H65" s="22" t="str">
        <x:f>IF(OR(D65="",E65=""),"PENDIENTE",IF(AND(D65="aprobar",E65="aprobar"),"TP",IF(AND(D65="rechazar",E65="rechazar"),"TN",IF(AND(D65="rechazar",E65="aprobar"),"FP","FN"))))</x:f>
        <x:v>PENDIENTE</x:v>
      </x:c>
      <x:c r="I65" s="31"/>
      <x:c r="J65" s="31"/>
      <x:c r="K65" s="34"/>
    </x:row>
    <x:row r="66">
      <x:c r="A66" s="28"/>
      <x:c r="B66" s="31"/>
      <x:c r="C66" s="31"/>
      <x:c r="D66" s="31"/>
      <x:c r="E66" s="31"/>
      <x:c r="F66" s="31"/>
      <x:c r="G66" s="31"/>
      <x:c r="H66" s="22" t="str">
        <x:f>IF(OR(D66="",E66=""),"PENDIENTE",IF(AND(D66="aprobar",E66="aprobar"),"TP",IF(AND(D66="rechazar",E66="rechazar"),"TN",IF(AND(D66="rechazar",E66="aprobar"),"FP","FN"))))</x:f>
        <x:v>PENDIENTE</x:v>
      </x:c>
      <x:c r="I66" s="31"/>
      <x:c r="J66" s="31"/>
      <x:c r="K66" s="34"/>
    </x:row>
    <x:row r="67">
      <x:c r="A67" s="28"/>
      <x:c r="B67" s="31"/>
      <x:c r="C67" s="31"/>
      <x:c r="D67" s="31"/>
      <x:c r="E67" s="31"/>
      <x:c r="F67" s="31"/>
      <x:c r="G67" s="31"/>
      <x:c r="H67" s="22" t="str">
        <x:f>IF(OR(D67="",E67=""),"PENDIENTE",IF(AND(D67="aprobar",E67="aprobar"),"TP",IF(AND(D67="rechazar",E67="rechazar"),"TN",IF(AND(D67="rechazar",E67="aprobar"),"FP","FN"))))</x:f>
        <x:v>PENDIENTE</x:v>
      </x:c>
      <x:c r="I67" s="31"/>
      <x:c r="J67" s="31"/>
      <x:c r="K67" s="34"/>
    </x:row>
    <x:row r="68">
      <x:c r="A68" s="28"/>
      <x:c r="B68" s="31"/>
      <x:c r="C68" s="31"/>
      <x:c r="D68" s="31"/>
      <x:c r="E68" s="31"/>
      <x:c r="F68" s="31"/>
      <x:c r="G68" s="31"/>
      <x:c r="H68" s="22" t="str">
        <x:f>IF(OR(D68="",E68=""),"PENDIENTE",IF(AND(D68="aprobar",E68="aprobar"),"TP",IF(AND(D68="rechazar",E68="rechazar"),"TN",IF(AND(D68="rechazar",E68="aprobar"),"FP","FN"))))</x:f>
        <x:v>PENDIENTE</x:v>
      </x:c>
      <x:c r="I68" s="31"/>
      <x:c r="J68" s="31"/>
      <x:c r="K68" s="34"/>
    </x:row>
    <x:row r="69">
      <x:c r="A69" s="28"/>
      <x:c r="B69" s="31"/>
      <x:c r="C69" s="31"/>
      <x:c r="D69" s="31"/>
      <x:c r="E69" s="31"/>
      <x:c r="F69" s="31"/>
      <x:c r="G69" s="31"/>
      <x:c r="H69" s="22" t="str">
        <x:f>IF(OR(D69="",E69=""),"PENDIENTE",IF(AND(D69="aprobar",E69="aprobar"),"TP",IF(AND(D69="rechazar",E69="rechazar"),"TN",IF(AND(D69="rechazar",E69="aprobar"),"FP","FN"))))</x:f>
        <x:v>PENDIENTE</x:v>
      </x:c>
      <x:c r="I69" s="31"/>
      <x:c r="J69" s="31"/>
      <x:c r="K69" s="34"/>
    </x:row>
    <x:row r="70">
      <x:c r="A70" s="28"/>
      <x:c r="B70" s="31"/>
      <x:c r="C70" s="31"/>
      <x:c r="D70" s="31"/>
      <x:c r="E70" s="31"/>
      <x:c r="F70" s="31"/>
      <x:c r="G70" s="31"/>
      <x:c r="H70" s="22" t="str">
        <x:f>IF(OR(D70="",E70=""),"PENDIENTE",IF(AND(D70="aprobar",E70="aprobar"),"TP",IF(AND(D70="rechazar",E70="rechazar"),"TN",IF(AND(D70="rechazar",E70="aprobar"),"FP","FN"))))</x:f>
        <x:v>PENDIENTE</x:v>
      </x:c>
      <x:c r="I70" s="31"/>
      <x:c r="J70" s="31"/>
      <x:c r="K70" s="34"/>
    </x:row>
    <x:row r="71">
      <x:c r="A71" s="28"/>
      <x:c r="B71" s="31"/>
      <x:c r="C71" s="31"/>
      <x:c r="D71" s="31"/>
      <x:c r="E71" s="31"/>
      <x:c r="F71" s="31"/>
      <x:c r="G71" s="31"/>
      <x:c r="H71" s="22" t="str">
        <x:f>IF(OR(D71="",E71=""),"PENDIENTE",IF(AND(D71="aprobar",E71="aprobar"),"TP",IF(AND(D71="rechazar",E71="rechazar"),"TN",IF(AND(D71="rechazar",E71="aprobar"),"FP","FN"))))</x:f>
        <x:v>PENDIENTE</x:v>
      </x:c>
      <x:c r="I71" s="31"/>
      <x:c r="J71" s="31"/>
      <x:c r="K71" s="34"/>
    </x:row>
    <x:row r="72">
      <x:c r="A72" s="28"/>
      <x:c r="B72" s="31"/>
      <x:c r="C72" s="31"/>
      <x:c r="D72" s="31"/>
      <x:c r="E72" s="31"/>
      <x:c r="F72" s="31"/>
      <x:c r="G72" s="31"/>
      <x:c r="H72" s="22" t="str">
        <x:f>IF(OR(D72="",E72=""),"PENDIENTE",IF(AND(D72="aprobar",E72="aprobar"),"TP",IF(AND(D72="rechazar",E72="rechazar"),"TN",IF(AND(D72="rechazar",E72="aprobar"),"FP","FN"))))</x:f>
        <x:v>PENDIENTE</x:v>
      </x:c>
      <x:c r="I72" s="31"/>
      <x:c r="J72" s="31"/>
      <x:c r="K72" s="34"/>
    </x:row>
    <x:row r="73">
      <x:c r="A73" s="28"/>
      <x:c r="B73" s="31"/>
      <x:c r="C73" s="31"/>
      <x:c r="D73" s="31"/>
      <x:c r="E73" s="31"/>
      <x:c r="F73" s="31"/>
      <x:c r="G73" s="31"/>
      <x:c r="H73" s="22" t="str">
        <x:f>IF(OR(D73="",E73=""),"PENDIENTE",IF(AND(D73="aprobar",E73="aprobar"),"TP",IF(AND(D73="rechazar",E73="rechazar"),"TN",IF(AND(D73="rechazar",E73="aprobar"),"FP","FN"))))</x:f>
        <x:v>PENDIENTE</x:v>
      </x:c>
      <x:c r="I73" s="31"/>
      <x:c r="J73" s="31"/>
      <x:c r="K73" s="34"/>
    </x:row>
    <x:row r="74">
      <x:c r="A74" s="28"/>
      <x:c r="B74" s="31"/>
      <x:c r="C74" s="31"/>
      <x:c r="D74" s="31"/>
      <x:c r="E74" s="31"/>
      <x:c r="F74" s="31"/>
      <x:c r="G74" s="31"/>
      <x:c r="H74" s="22" t="str">
        <x:f>IF(OR(D74="",E74=""),"PENDIENTE",IF(AND(D74="aprobar",E74="aprobar"),"TP",IF(AND(D74="rechazar",E74="rechazar"),"TN",IF(AND(D74="rechazar",E74="aprobar"),"FP","FN"))))</x:f>
        <x:v>PENDIENTE</x:v>
      </x:c>
      <x:c r="I74" s="31"/>
      <x:c r="J74" s="31"/>
      <x:c r="K74" s="34"/>
    </x:row>
    <x:row r="75">
      <x:c r="A75" s="28"/>
      <x:c r="B75" s="31"/>
      <x:c r="C75" s="31"/>
      <x:c r="D75" s="31"/>
      <x:c r="E75" s="31"/>
      <x:c r="F75" s="31"/>
      <x:c r="G75" s="31"/>
      <x:c r="H75" s="22" t="str">
        <x:f>IF(OR(D75="",E75=""),"PENDIENTE",IF(AND(D75="aprobar",E75="aprobar"),"TP",IF(AND(D75="rechazar",E75="rechazar"),"TN",IF(AND(D75="rechazar",E75="aprobar"),"FP","FN"))))</x:f>
        <x:v>PENDIENTE</x:v>
      </x:c>
      <x:c r="I75" s="31"/>
      <x:c r="J75" s="31"/>
      <x:c r="K75" s="34"/>
    </x:row>
    <x:row r="76">
      <x:c r="A76" s="28"/>
      <x:c r="B76" s="31"/>
      <x:c r="C76" s="31"/>
      <x:c r="D76" s="31"/>
      <x:c r="E76" s="31"/>
      <x:c r="F76" s="31"/>
      <x:c r="G76" s="31"/>
      <x:c r="H76" s="22" t="str">
        <x:f>IF(OR(D76="",E76=""),"PENDIENTE",IF(AND(D76="aprobar",E76="aprobar"),"TP",IF(AND(D76="rechazar",E76="rechazar"),"TN",IF(AND(D76="rechazar",E76="aprobar"),"FP","FN"))))</x:f>
        <x:v>PENDIENTE</x:v>
      </x:c>
      <x:c r="I76" s="31"/>
      <x:c r="J76" s="31"/>
      <x:c r="K76" s="34"/>
    </x:row>
    <x:row r="77">
      <x:c r="A77" s="28"/>
      <x:c r="B77" s="31"/>
      <x:c r="C77" s="31"/>
      <x:c r="D77" s="31"/>
      <x:c r="E77" s="31"/>
      <x:c r="F77" s="31"/>
      <x:c r="G77" s="31"/>
      <x:c r="H77" s="22" t="str">
        <x:f>IF(OR(D77="",E77=""),"PENDIENTE",IF(AND(D77="aprobar",E77="aprobar"),"TP",IF(AND(D77="rechazar",E77="rechazar"),"TN",IF(AND(D77="rechazar",E77="aprobar"),"FP","FN"))))</x:f>
        <x:v>PENDIENTE</x:v>
      </x:c>
      <x:c r="I77" s="31"/>
      <x:c r="J77" s="31"/>
      <x:c r="K77" s="34"/>
    </x:row>
    <x:row r="78">
      <x:c r="A78" s="28"/>
      <x:c r="B78" s="31"/>
      <x:c r="C78" s="31"/>
      <x:c r="D78" s="31"/>
      <x:c r="E78" s="31"/>
      <x:c r="F78" s="31"/>
      <x:c r="G78" s="31"/>
      <x:c r="H78" s="22" t="str">
        <x:f>IF(OR(D78="",E78=""),"PENDIENTE",IF(AND(D78="aprobar",E78="aprobar"),"TP",IF(AND(D78="rechazar",E78="rechazar"),"TN",IF(AND(D78="rechazar",E78="aprobar"),"FP","FN"))))</x:f>
        <x:v>PENDIENTE</x:v>
      </x:c>
      <x:c r="I78" s="31"/>
      <x:c r="J78" s="31"/>
      <x:c r="K78" s="34"/>
    </x:row>
    <x:row r="79">
      <x:c r="A79" s="28"/>
      <x:c r="B79" s="31"/>
      <x:c r="C79" s="31"/>
      <x:c r="D79" s="31"/>
      <x:c r="E79" s="31"/>
      <x:c r="F79" s="31"/>
      <x:c r="G79" s="31"/>
      <x:c r="H79" s="22" t="str">
        <x:f>IF(OR(D79="",E79=""),"PENDIENTE",IF(AND(D79="aprobar",E79="aprobar"),"TP",IF(AND(D79="rechazar",E79="rechazar"),"TN",IF(AND(D79="rechazar",E79="aprobar"),"FP","FN"))))</x:f>
        <x:v>PENDIENTE</x:v>
      </x:c>
      <x:c r="I79" s="31"/>
      <x:c r="J79" s="31"/>
      <x:c r="K79" s="34"/>
    </x:row>
    <x:row r="80">
      <x:c r="A80" s="28"/>
      <x:c r="B80" s="31"/>
      <x:c r="C80" s="31"/>
      <x:c r="D80" s="31"/>
      <x:c r="E80" s="31"/>
      <x:c r="F80" s="31"/>
      <x:c r="G80" s="31"/>
      <x:c r="H80" s="22" t="str">
        <x:f>IF(OR(D80="",E80=""),"PENDIENTE",IF(AND(D80="aprobar",E80="aprobar"),"TP",IF(AND(D80="rechazar",E80="rechazar"),"TN",IF(AND(D80="rechazar",E80="aprobar"),"FP","FN"))))</x:f>
        <x:v>PENDIENTE</x:v>
      </x:c>
      <x:c r="I80" s="31"/>
      <x:c r="J80" s="31"/>
      <x:c r="K80" s="34"/>
    </x:row>
    <x:row r="81">
      <x:c r="A81" s="28"/>
      <x:c r="B81" s="31"/>
      <x:c r="C81" s="31"/>
      <x:c r="D81" s="31"/>
      <x:c r="E81" s="31"/>
      <x:c r="F81" s="31"/>
      <x:c r="G81" s="31"/>
      <x:c r="H81" s="22" t="str">
        <x:f>IF(OR(D81="",E81=""),"PENDIENTE",IF(AND(D81="aprobar",E81="aprobar"),"TP",IF(AND(D81="rechazar",E81="rechazar"),"TN",IF(AND(D81="rechazar",E81="aprobar"),"FP","FN"))))</x:f>
        <x:v>PENDIENTE</x:v>
      </x:c>
      <x:c r="I81" s="31"/>
      <x:c r="J81" s="31"/>
      <x:c r="K81" s="34"/>
    </x:row>
    <x:row r="82">
      <x:c r="A82" s="28"/>
      <x:c r="B82" s="31"/>
      <x:c r="C82" s="31"/>
      <x:c r="D82" s="31"/>
      <x:c r="E82" s="31"/>
      <x:c r="F82" s="31"/>
      <x:c r="G82" s="31"/>
      <x:c r="H82" s="22" t="str">
        <x:f>IF(OR(D82="",E82=""),"PENDIENTE",IF(AND(D82="aprobar",E82="aprobar"),"TP",IF(AND(D82="rechazar",E82="rechazar"),"TN",IF(AND(D82="rechazar",E82="aprobar"),"FP","FN"))))</x:f>
        <x:v>PENDIENTE</x:v>
      </x:c>
      <x:c r="I82" s="31"/>
      <x:c r="J82" s="31"/>
      <x:c r="K82" s="34"/>
    </x:row>
    <x:row r="83">
      <x:c r="A83" s="28"/>
      <x:c r="B83" s="31"/>
      <x:c r="C83" s="31"/>
      <x:c r="D83" s="31"/>
      <x:c r="E83" s="31"/>
      <x:c r="F83" s="31"/>
      <x:c r="G83" s="31"/>
      <x:c r="H83" s="22" t="str">
        <x:f>IF(OR(D83="",E83=""),"PENDIENTE",IF(AND(D83="aprobar",E83="aprobar"),"TP",IF(AND(D83="rechazar",E83="rechazar"),"TN",IF(AND(D83="rechazar",E83="aprobar"),"FP","FN"))))</x:f>
        <x:v>PENDIENTE</x:v>
      </x:c>
      <x:c r="I83" s="31"/>
      <x:c r="J83" s="31"/>
      <x:c r="K83" s="34"/>
    </x:row>
    <x:row r="84">
      <x:c r="A84" s="28"/>
      <x:c r="B84" s="31"/>
      <x:c r="C84" s="31"/>
      <x:c r="D84" s="31"/>
      <x:c r="E84" s="31"/>
      <x:c r="F84" s="31"/>
      <x:c r="G84" s="31"/>
      <x:c r="H84" s="22" t="str">
        <x:f>IF(OR(D84="",E84=""),"PENDIENTE",IF(AND(D84="aprobar",E84="aprobar"),"TP",IF(AND(D84="rechazar",E84="rechazar"),"TN",IF(AND(D84="rechazar",E84="aprobar"),"FP","FN"))))</x:f>
        <x:v>PENDIENTE</x:v>
      </x:c>
      <x:c r="I84" s="31"/>
      <x:c r="J84" s="31"/>
      <x:c r="K84" s="34"/>
    </x:row>
    <x:row r="85">
      <x:c r="A85" s="28"/>
      <x:c r="B85" s="31"/>
      <x:c r="C85" s="31"/>
      <x:c r="D85" s="31"/>
      <x:c r="E85" s="31"/>
      <x:c r="F85" s="31"/>
      <x:c r="G85" s="31"/>
      <x:c r="H85" s="22" t="str">
        <x:f>IF(OR(D85="",E85=""),"PENDIENTE",IF(AND(D85="aprobar",E85="aprobar"),"TP",IF(AND(D85="rechazar",E85="rechazar"),"TN",IF(AND(D85="rechazar",E85="aprobar"),"FP","FN"))))</x:f>
        <x:v>PENDIENTE</x:v>
      </x:c>
      <x:c r="I85" s="31"/>
      <x:c r="J85" s="31"/>
      <x:c r="K85" s="34"/>
    </x:row>
    <x:row r="86">
      <x:c r="A86" s="28"/>
      <x:c r="B86" s="31"/>
      <x:c r="C86" s="31"/>
      <x:c r="D86" s="31"/>
      <x:c r="E86" s="31"/>
      <x:c r="F86" s="31"/>
      <x:c r="G86" s="31"/>
      <x:c r="H86" s="22" t="str">
        <x:f>IF(OR(D86="",E86=""),"PENDIENTE",IF(AND(D86="aprobar",E86="aprobar"),"TP",IF(AND(D86="rechazar",E86="rechazar"),"TN",IF(AND(D86="rechazar",E86="aprobar"),"FP","FN"))))</x:f>
        <x:v>PENDIENTE</x:v>
      </x:c>
      <x:c r="I86" s="31"/>
      <x:c r="J86" s="31"/>
      <x:c r="K86" s="34"/>
    </x:row>
    <x:row r="87">
      <x:c r="A87" s="28"/>
      <x:c r="B87" s="31"/>
      <x:c r="C87" s="31"/>
      <x:c r="D87" s="31"/>
      <x:c r="E87" s="31"/>
      <x:c r="F87" s="31"/>
      <x:c r="G87" s="31"/>
      <x:c r="H87" s="22" t="str">
        <x:f>IF(OR(D87="",E87=""),"PENDIENTE",IF(AND(D87="aprobar",E87="aprobar"),"TP",IF(AND(D87="rechazar",E87="rechazar"),"TN",IF(AND(D87="rechazar",E87="aprobar"),"FP","FN"))))</x:f>
        <x:v>PENDIENTE</x:v>
      </x:c>
      <x:c r="I87" s="31"/>
      <x:c r="J87" s="31"/>
      <x:c r="K87" s="34"/>
    </x:row>
    <x:row r="88">
      <x:c r="A88" s="28"/>
      <x:c r="B88" s="31"/>
      <x:c r="C88" s="31"/>
      <x:c r="D88" s="31"/>
      <x:c r="E88" s="31"/>
      <x:c r="F88" s="31"/>
      <x:c r="G88" s="31"/>
      <x:c r="H88" s="22" t="str">
        <x:f>IF(OR(D88="",E88=""),"PENDIENTE",IF(AND(D88="aprobar",E88="aprobar"),"TP",IF(AND(D88="rechazar",E88="rechazar"),"TN",IF(AND(D88="rechazar",E88="aprobar"),"FP","FN"))))</x:f>
        <x:v>PENDIENTE</x:v>
      </x:c>
      <x:c r="I88" s="31"/>
      <x:c r="J88" s="31"/>
      <x:c r="K88" s="34"/>
    </x:row>
    <x:row r="89">
      <x:c r="A89" s="28"/>
      <x:c r="B89" s="31"/>
      <x:c r="C89" s="31"/>
      <x:c r="D89" s="31"/>
      <x:c r="E89" s="31"/>
      <x:c r="F89" s="31"/>
      <x:c r="G89" s="31"/>
      <x:c r="H89" s="22" t="str">
        <x:f>IF(OR(D89="",E89=""),"PENDIENTE",IF(AND(D89="aprobar",E89="aprobar"),"TP",IF(AND(D89="rechazar",E89="rechazar"),"TN",IF(AND(D89="rechazar",E89="aprobar"),"FP","FN"))))</x:f>
        <x:v>PENDIENTE</x:v>
      </x:c>
      <x:c r="I89" s="31"/>
      <x:c r="J89" s="31"/>
      <x:c r="K89" s="34"/>
    </x:row>
    <x:row r="90">
      <x:c r="A90" s="28"/>
      <x:c r="B90" s="31"/>
      <x:c r="C90" s="31"/>
      <x:c r="D90" s="31"/>
      <x:c r="E90" s="31"/>
      <x:c r="F90" s="31"/>
      <x:c r="G90" s="31"/>
      <x:c r="H90" s="22" t="str">
        <x:f>IF(OR(D90="",E90=""),"PENDIENTE",IF(AND(D90="aprobar",E90="aprobar"),"TP",IF(AND(D90="rechazar",E90="rechazar"),"TN",IF(AND(D90="rechazar",E90="aprobar"),"FP","FN"))))</x:f>
        <x:v>PENDIENTE</x:v>
      </x:c>
      <x:c r="I90" s="31"/>
      <x:c r="J90" s="31"/>
      <x:c r="K90" s="34"/>
    </x:row>
    <x:row r="91">
      <x:c r="A91" s="28"/>
      <x:c r="B91" s="31"/>
      <x:c r="C91" s="31"/>
      <x:c r="D91" s="31"/>
      <x:c r="E91" s="31"/>
      <x:c r="F91" s="31"/>
      <x:c r="G91" s="31"/>
      <x:c r="H91" s="22" t="str">
        <x:f>IF(OR(D91="",E91=""),"PENDIENTE",IF(AND(D91="aprobar",E91="aprobar"),"TP",IF(AND(D91="rechazar",E91="rechazar"),"TN",IF(AND(D91="rechazar",E91="aprobar"),"FP","FN"))))</x:f>
        <x:v>PENDIENTE</x:v>
      </x:c>
      <x:c r="I91" s="31"/>
      <x:c r="J91" s="31"/>
      <x:c r="K91" s="34"/>
    </x:row>
    <x:row r="92">
      <x:c r="A92" s="28"/>
      <x:c r="B92" s="31"/>
      <x:c r="C92" s="31"/>
      <x:c r="D92" s="31"/>
      <x:c r="E92" s="31"/>
      <x:c r="F92" s="31"/>
      <x:c r="G92" s="31"/>
      <x:c r="H92" s="22" t="str">
        <x:f>IF(OR(D92="",E92=""),"PENDIENTE",IF(AND(D92="aprobar",E92="aprobar"),"TP",IF(AND(D92="rechazar",E92="rechazar"),"TN",IF(AND(D92="rechazar",E92="aprobar"),"FP","FN"))))</x:f>
        <x:v>PENDIENTE</x:v>
      </x:c>
      <x:c r="I92" s="31"/>
      <x:c r="J92" s="31"/>
      <x:c r="K92" s="34"/>
    </x:row>
    <x:row r="93">
      <x:c r="A93" s="28"/>
      <x:c r="B93" s="31"/>
      <x:c r="C93" s="31"/>
      <x:c r="D93" s="31"/>
      <x:c r="E93" s="31"/>
      <x:c r="F93" s="31"/>
      <x:c r="G93" s="31"/>
      <x:c r="H93" s="22" t="str">
        <x:f>IF(OR(D93="",E93=""),"PENDIENTE",IF(AND(D93="aprobar",E93="aprobar"),"TP",IF(AND(D93="rechazar",E93="rechazar"),"TN",IF(AND(D93="rechazar",E93="aprobar"),"FP","FN"))))</x:f>
        <x:v>PENDIENTE</x:v>
      </x:c>
      <x:c r="I93" s="31"/>
      <x:c r="J93" s="31"/>
      <x:c r="K93" s="34"/>
    </x:row>
    <x:row r="94">
      <x:c r="A94" s="28"/>
      <x:c r="B94" s="31"/>
      <x:c r="C94" s="31"/>
      <x:c r="D94" s="31"/>
      <x:c r="E94" s="31"/>
      <x:c r="F94" s="31"/>
      <x:c r="G94" s="31"/>
      <x:c r="H94" s="22" t="str">
        <x:f>IF(OR(D94="",E94=""),"PENDIENTE",IF(AND(D94="aprobar",E94="aprobar"),"TP",IF(AND(D94="rechazar",E94="rechazar"),"TN",IF(AND(D94="rechazar",E94="aprobar"),"FP","FN"))))</x:f>
        <x:v>PENDIENTE</x:v>
      </x:c>
      <x:c r="I94" s="31"/>
      <x:c r="J94" s="31"/>
      <x:c r="K94" s="34"/>
    </x:row>
    <x:row r="95">
      <x:c r="A95" s="28"/>
      <x:c r="B95" s="31"/>
      <x:c r="C95" s="31"/>
      <x:c r="D95" s="31"/>
      <x:c r="E95" s="31"/>
      <x:c r="F95" s="31"/>
      <x:c r="G95" s="31"/>
      <x:c r="H95" s="22" t="str">
        <x:f>IF(OR(D95="",E95=""),"PENDIENTE",IF(AND(D95="aprobar",E95="aprobar"),"TP",IF(AND(D95="rechazar",E95="rechazar"),"TN",IF(AND(D95="rechazar",E95="aprobar"),"FP","FN"))))</x:f>
        <x:v>PENDIENTE</x:v>
      </x:c>
      <x:c r="I95" s="31"/>
      <x:c r="J95" s="31"/>
      <x:c r="K95" s="34"/>
    </x:row>
    <x:row r="96">
      <x:c r="A96" s="28"/>
      <x:c r="B96" s="31"/>
      <x:c r="C96" s="31"/>
      <x:c r="D96" s="31"/>
      <x:c r="E96" s="31"/>
      <x:c r="F96" s="31"/>
      <x:c r="G96" s="31"/>
      <x:c r="H96" s="22" t="str">
        <x:f>IF(OR(D96="",E96=""),"PENDIENTE",IF(AND(D96="aprobar",E96="aprobar"),"TP",IF(AND(D96="rechazar",E96="rechazar"),"TN",IF(AND(D96="rechazar",E96="aprobar"),"FP","FN"))))</x:f>
        <x:v>PENDIENTE</x:v>
      </x:c>
      <x:c r="I96" s="31"/>
      <x:c r="J96" s="31"/>
      <x:c r="K96" s="34"/>
    </x:row>
    <x:row r="97">
      <x:c r="A97" s="28"/>
      <x:c r="B97" s="31"/>
      <x:c r="C97" s="31"/>
      <x:c r="D97" s="31"/>
      <x:c r="E97" s="31"/>
      <x:c r="F97" s="31"/>
      <x:c r="G97" s="31"/>
      <x:c r="H97" s="22" t="str">
        <x:f>IF(OR(D97="",E97=""),"PENDIENTE",IF(AND(D97="aprobar",E97="aprobar"),"TP",IF(AND(D97="rechazar",E97="rechazar"),"TN",IF(AND(D97="rechazar",E97="aprobar"),"FP","FN"))))</x:f>
        <x:v>PENDIENTE</x:v>
      </x:c>
      <x:c r="I97" s="31"/>
      <x:c r="J97" s="31"/>
      <x:c r="K97" s="34"/>
    </x:row>
    <x:row r="98">
      <x:c r="A98" s="28"/>
      <x:c r="B98" s="31"/>
      <x:c r="C98" s="31"/>
      <x:c r="D98" s="31"/>
      <x:c r="E98" s="31"/>
      <x:c r="F98" s="31"/>
      <x:c r="G98" s="31"/>
      <x:c r="H98" s="22" t="str">
        <x:f>IF(OR(D98="",E98=""),"PENDIENTE",IF(AND(D98="aprobar",E98="aprobar"),"TP",IF(AND(D98="rechazar",E98="rechazar"),"TN",IF(AND(D98="rechazar",E98="aprobar"),"FP","FN"))))</x:f>
        <x:v>PENDIENTE</x:v>
      </x:c>
      <x:c r="I98" s="31"/>
      <x:c r="J98" s="31"/>
      <x:c r="K98" s="34"/>
    </x:row>
    <x:row r="99">
      <x:c r="A99" s="28"/>
      <x:c r="B99" s="31"/>
      <x:c r="C99" s="31"/>
      <x:c r="D99" s="31"/>
      <x:c r="E99" s="31"/>
      <x:c r="F99" s="31"/>
      <x:c r="G99" s="31"/>
      <x:c r="H99" s="22" t="str">
        <x:f>IF(OR(D99="",E99=""),"PENDIENTE",IF(AND(D99="aprobar",E99="aprobar"),"TP",IF(AND(D99="rechazar",E99="rechazar"),"TN",IF(AND(D99="rechazar",E99="aprobar"),"FP","FN"))))</x:f>
        <x:v>PENDIENTE</x:v>
      </x:c>
      <x:c r="I99" s="31"/>
      <x:c r="J99" s="31"/>
      <x:c r="K99" s="34"/>
    </x:row>
    <x:row r="100">
      <x:c r="A100" s="28"/>
      <x:c r="B100" s="31"/>
      <x:c r="C100" s="31"/>
      <x:c r="D100" s="31"/>
      <x:c r="E100" s="31"/>
      <x:c r="F100" s="31"/>
      <x:c r="G100" s="31"/>
      <x:c r="H100" s="22" t="str">
        <x:f>IF(OR(D100="",E100=""),"PENDIENTE",IF(AND(D100="aprobar",E100="aprobar"),"TP",IF(AND(D100="rechazar",E100="rechazar"),"TN",IF(AND(D100="rechazar",E100="aprobar"),"FP","FN"))))</x:f>
        <x:v>PENDIENTE</x:v>
      </x:c>
      <x:c r="I100" s="31"/>
      <x:c r="J100" s="31"/>
      <x:c r="K100" s="34"/>
    </x:row>
    <x:row r="101">
      <x:c r="A101" s="28"/>
      <x:c r="B101" s="31"/>
      <x:c r="C101" s="31"/>
      <x:c r="D101" s="31"/>
      <x:c r="E101" s="31"/>
      <x:c r="F101" s="31"/>
      <x:c r="G101" s="31"/>
      <x:c r="H101" s="22" t="str">
        <x:f>IF(OR(D101="",E101=""),"PENDIENTE",IF(AND(D101="aprobar",E101="aprobar"),"TP",IF(AND(D101="rechazar",E101="rechazar"),"TN",IF(AND(D101="rechazar",E101="aprobar"),"FP","FN"))))</x:f>
        <x:v>PENDIENTE</x:v>
      </x:c>
      <x:c r="I101" s="31"/>
      <x:c r="J101" s="31"/>
      <x:c r="K101" s="34"/>
    </x:row>
    <x:row r="102">
      <x:c r="A102" s="28"/>
      <x:c r="B102" s="31"/>
      <x:c r="C102" s="31"/>
      <x:c r="D102" s="31"/>
      <x:c r="E102" s="31"/>
      <x:c r="F102" s="31"/>
      <x:c r="G102" s="31"/>
      <x:c r="H102" s="22" t="str">
        <x:f>IF(OR(D102="",E102=""),"PENDIENTE",IF(AND(D102="aprobar",E102="aprobar"),"TP",IF(AND(D102="rechazar",E102="rechazar"),"TN",IF(AND(D102="rechazar",E102="aprobar"),"FP","FN"))))</x:f>
        <x:v>PENDIENTE</x:v>
      </x:c>
      <x:c r="I102" s="31"/>
      <x:c r="J102" s="31"/>
      <x:c r="K102" s="34"/>
    </x:row>
    <x:row r="103">
      <x:c r="A103" s="28"/>
      <x:c r="B103" s="31"/>
      <x:c r="C103" s="31"/>
      <x:c r="D103" s="31"/>
      <x:c r="E103" s="31"/>
      <x:c r="F103" s="31"/>
      <x:c r="G103" s="31"/>
      <x:c r="H103" s="22" t="str">
        <x:f>IF(OR(D103="",E103=""),"PENDIENTE",IF(AND(D103="aprobar",E103="aprobar"),"TP",IF(AND(D103="rechazar",E103="rechazar"),"TN",IF(AND(D103="rechazar",E103="aprobar"),"FP","FN"))))</x:f>
        <x:v>PENDIENTE</x:v>
      </x:c>
      <x:c r="I103" s="31"/>
      <x:c r="J103" s="31"/>
      <x:c r="K103" s="34"/>
    </x:row>
    <x:row r="104">
      <x:c r="A104" s="28"/>
      <x:c r="B104" s="31"/>
      <x:c r="C104" s="31"/>
      <x:c r="D104" s="31"/>
      <x:c r="E104" s="31"/>
      <x:c r="F104" s="31"/>
      <x:c r="G104" s="31"/>
      <x:c r="H104" s="22" t="str">
        <x:f>IF(OR(D104="",E104=""),"PENDIENTE",IF(AND(D104="aprobar",E104="aprobar"),"TP",IF(AND(D104="rechazar",E104="rechazar"),"TN",IF(AND(D104="rechazar",E104="aprobar"),"FP","FN"))))</x:f>
        <x:v>PENDIENTE</x:v>
      </x:c>
      <x:c r="I104" s="31"/>
      <x:c r="J104" s="31"/>
      <x:c r="K104" s="34"/>
    </x:row>
    <x:row r="105">
      <x:c r="A105" s="29"/>
      <x:c r="B105" s="32"/>
      <x:c r="C105" s="32"/>
      <x:c r="D105" s="32"/>
      <x:c r="E105" s="32"/>
      <x:c r="F105" s="32"/>
      <x:c r="G105" s="32"/>
      <x:c r="H105" s="25" t="str">
        <x:f>IF(OR(D105="",E105=""),"PENDIENTE",IF(AND(D105="aprobar",E105="aprobar"),"TP",IF(AND(D105="rechazar",E105="rechazar"),"TN",IF(AND(D105="rechazar",E105="aprobar"),"FP","FN"))))</x:f>
        <x:v>PENDIENTE</x:v>
      </x:c>
      <x:c r="I105" s="32"/>
      <x:c r="J105" s="32"/>
      <x:c r="K105" s="35"/>
    </x:row>
  </x:sheetData>
  <x:mergeCells>
    <x:mergeCell ref="A2:K2"/>
    <x:mergeCell ref="A3:K3"/>
  </x:mergeCells>
  <x:dataValidations count="4">
    <x:dataValidation type="list" sqref="D6:E105">
      <x:formula1>"aprobar,rechazar"</x:formula1>
    </x:dataValidation>
    <x:dataValidation type="list" sqref="C6:C105">
      <x:formula1>"genuino,no_coincidencia,persona_real,foto_impresa,foto_pantalla"</x:formula1>
    </x:dataValidation>
    <x:dataValidation type="list" sqref="F6:F105">
      <x:formula1>"normal,baja,contraluz"</x:formula1>
    </x:dataValidation>
    <x:dataValidation type="list" sqref="J6:J105">
      <x:formula1>"si,no"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0.62999725341797" hidden="0" customWidth="1"/>
    <x:col min="2" max="2" width="4.630000114440918" hidden="0" customWidth="1"/>
  </x:cols>
  <x:sheetData>
    <x:row r="2">
      <x:c r="A2" s="1" t="str">
        <x:v>Métricas agregadas</x:v>
      </x:c>
    </x:row>
    <x:row r="3">
      <x:c r="A3" s="2" t="str">
        <x:v>Las métricas se calculan solo con filas observadas. Si falta una clase, muestran n.a.</x:v>
      </x:c>
    </x:row>
    <x:row r="5">
      <x:c r="A5" s="38" t="str">
        <x:v>Métrica</x:v>
      </x:c>
      <x:c r="B5" s="38" t="str">
        <x:v>Valor</x:v>
      </x:c>
    </x:row>
    <x:row r="6">
      <x:c r="A6" s="39" t="str">
        <x:v>TP</x:v>
      </x:c>
      <x:c r="B6" s="39" t="n">
        <x:f>COUNTIFS(Registro!$H$6:$H$105,A6)</x:f>
        <x:v>0</x:v>
      </x:c>
    </x:row>
    <x:row r="7">
      <x:c r="A7" s="39" t="str">
        <x:v>TN</x:v>
      </x:c>
      <x:c r="B7" s="39" t="n">
        <x:f>COUNTIFS(Registro!$H$6:$H$105,A7)</x:f>
        <x:v>0</x:v>
      </x:c>
    </x:row>
    <x:row r="8">
      <x:c r="A8" s="39" t="str">
        <x:v>FP</x:v>
      </x:c>
      <x:c r="B8" s="39" t="n">
        <x:f>COUNTIFS(Registro!$H$6:$H$105,A8)</x:f>
        <x:v>0</x:v>
      </x:c>
    </x:row>
    <x:row r="9">
      <x:c r="A9" s="39" t="str">
        <x:v>FN</x:v>
      </x:c>
      <x:c r="B9" s="39" t="n">
        <x:f>COUNTIFS(Registro!$H$6:$H$105,A9)</x:f>
        <x:v>0</x:v>
      </x:c>
    </x:row>
    <x:row r="10">
      <x:c r="A10" s="39" t="str">
        <x:v>Tasa de aceptación genuina</x:v>
      </x:c>
      <x:c r="B10" s="40" t="str">
        <x:f>IF(B6+B9=0,"n.a.",B6/(B6+B9))</x:f>
        <x:v>n.a.</x:v>
      </x:c>
    </x:row>
    <x:row r="11">
      <x:c r="A11" s="39" t="str">
        <x:v>Tasa de falso rechazo</x:v>
      </x:c>
      <x:c r="B11" s="40" t="str">
        <x:f>IF(B6+B9=0,"n.a.",B9/(B6+B9))</x:f>
        <x:v>n.a.</x:v>
      </x:c>
    </x:row>
    <x:row r="12">
      <x:c r="A12" s="39" t="str">
        <x:v>Tasa de rechazo de no coincidencia</x:v>
      </x:c>
      <x:c r="B12" s="40" t="str">
        <x:f>IF(B7+B8=0,"n.a.",B7/(B7+B8))</x:f>
        <x:v>n.a.</x:v>
      </x:c>
    </x:row>
    <x:row r="13">
      <x:c r="A13" s="39" t="str">
        <x:v>Tasa de falso positivo</x:v>
      </x:c>
      <x:c r="B13" s="40" t="str">
        <x:f>IF(B7+B8=0,"n.a.",B8/(B7+B8))</x:f>
        <x:v>n.a.</x:v>
      </x:c>
    </x:row>
    <x:row r="14">
      <x:c r="A14" s="39" t="str">
        <x:v>Filas observadas</x:v>
      </x:c>
      <x:c r="B14" s="39" t="n">
        <x:f>COUNTIFS(Registro!$E$6:$E$105,"&lt;&gt;")</x:f>
        <x:v>0</x:v>
      </x:c>
    </x:row>
    <x:row r="16" ht="36" customHeight="1">
      <x:c r="A16" s="43" t="str">
        <x:v>Interpretación: TP/TN/FP/FN se calculan desde esperado y observado. No informe FPR ni precisión si faltan observaciones necesarias.</x:v>
      </x:c>
    </x:row>
  </x:sheetData>
  <x:mergeCells>
    <x:mergeCell ref="A2:D2"/>
    <x:mergeCell ref="A3:D3"/>
    <x:mergeCell ref="A16:D16"/>
  </x:mergeCells>
  <x:pageMargins left="0.7" right="0.7" top="0.75" bottom="0.75" header="0.3" footer="0.3"/>
</x:worksheet>
</file>